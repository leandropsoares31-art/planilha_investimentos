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947d93cf100e490f/Cursos 2026/DIO/Curso da DIo Excel e IA/Planilha de Investimento/"/>
    </mc:Choice>
  </mc:AlternateContent>
  <xr:revisionPtr revIDLastSave="26" documentId="11_F25DC773A252ABDACC104812595E4DC45BDE58ED" xr6:coauthVersionLast="47" xr6:coauthVersionMax="47" xr10:uidLastSave="{FE0E65DF-5A49-4B0F-B899-B639E968DEED}"/>
  <bookViews>
    <workbookView xWindow="-28920" yWindow="-120" windowWidth="29040" windowHeight="15720" tabRatio="0" xr2:uid="{00000000-000D-0000-FFFF-FFFF00000000}"/>
  </bookViews>
  <sheets>
    <sheet name="APP" sheetId="1" r:id="rId1"/>
    <sheet name="Apoio" sheetId="2" r:id="rId2"/>
  </sheets>
  <definedNames>
    <definedName name="aporte">APP!$D$17</definedName>
    <definedName name="invertimento_usado">APP!$D$20</definedName>
    <definedName name="investimento_usado">APP!$D$20</definedName>
    <definedName name="patrimonio">APP!$D$21</definedName>
    <definedName name="qtd_anos">APP!$D$18</definedName>
    <definedName name="rendimento_carteira">APP!$D$12</definedName>
    <definedName name="sugestao_investimento">APP!$D$13</definedName>
    <definedName name="taxa_mesnsal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1" i="1" l="1"/>
  <c r="D22" i="1" s="1"/>
  <c r="A16" i="2"/>
  <c r="A17" i="2"/>
  <c r="A18" i="2"/>
  <c r="A19" i="2"/>
  <c r="A20" i="2"/>
  <c r="A15" i="2"/>
  <c r="A10" i="2"/>
  <c r="A11" i="2"/>
  <c r="A12" i="2"/>
  <c r="A13" i="2"/>
  <c r="A14" i="2"/>
  <c r="A9" i="2"/>
  <c r="A4" i="2"/>
  <c r="A5" i="2"/>
  <c r="A6" i="2"/>
  <c r="A7" i="2"/>
  <c r="A8" i="2"/>
  <c r="A3" i="2"/>
  <c r="D13" i="1"/>
  <c r="D20" i="1" s="1"/>
  <c r="C35" i="1" s="1"/>
  <c r="C26" i="1"/>
  <c r="D26" i="1" s="1"/>
  <c r="C27" i="1"/>
  <c r="D27" i="1" s="1"/>
  <c r="C28" i="1"/>
  <c r="D28" i="1" s="1"/>
  <c r="C29" i="1"/>
  <c r="D29" i="1" s="1"/>
  <c r="C25" i="1"/>
  <c r="D25" i="1" s="1"/>
  <c r="C41" i="1" l="1"/>
  <c r="D41" i="1" s="1"/>
  <c r="C40" i="1"/>
  <c r="D40" i="1" s="1"/>
  <c r="C39" i="1"/>
  <c r="D39" i="1" s="1"/>
  <c r="C42" i="1"/>
  <c r="D42" i="1" s="1"/>
  <c r="H4" i="2"/>
  <c r="C38" i="1"/>
  <c r="D38" i="1" s="1"/>
  <c r="C43" i="1"/>
  <c r="D43" i="1" s="1"/>
  <c r="D44" i="1" l="1"/>
</calcChain>
</file>

<file path=xl/sharedStrings.xml><?xml version="1.0" encoding="utf-8"?>
<sst xmlns="http://schemas.openxmlformats.org/spreadsheetml/2006/main" count="75" uniqueCount="39">
  <si>
    <t>Quanto invertir po mês?</t>
  </si>
  <si>
    <t>Por quantos anos?</t>
  </si>
  <si>
    <t>Taxa de rendimento mensal?</t>
  </si>
  <si>
    <t>Patrimônio acumulado?</t>
  </si>
  <si>
    <t>Dividendos Mensais?</t>
  </si>
  <si>
    <t>Quanto em 2 anos?</t>
  </si>
  <si>
    <t>Quanto em 5 anos?</t>
  </si>
  <si>
    <t>Quanto em 10 anos?</t>
  </si>
  <si>
    <t>Quanto em 20 anos?</t>
  </si>
  <si>
    <t>Quanto em 30 anos?</t>
  </si>
  <si>
    <t>Dividendo</t>
  </si>
  <si>
    <t>Rendimento de Carteira</t>
  </si>
  <si>
    <t>Salário</t>
  </si>
  <si>
    <t>CONFIGURAÇÕES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</si>
  <si>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</si>
  <si>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</si>
  <si>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</si>
  <si>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</si>
  <si>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</si>
  <si>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</si>
  <si>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</si>
  <si>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</si>
  <si>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</si>
  <si>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</si>
  <si>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</si>
  <si>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</si>
  <si>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</si>
  <si>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Agressivo</t>
  </si>
  <si>
    <t>Moderado</t>
  </si>
  <si>
    <t>Conservador</t>
  </si>
  <si>
    <t>Moderado-TIJOLO</t>
  </si>
  <si>
    <t>Sugestão de Investimento (30%)</t>
  </si>
  <si>
    <t>INVESTIMENTO MENSAL</t>
  </si>
  <si>
    <t>CENÁRIOS</t>
  </si>
  <si>
    <t>30% do Salário</t>
  </si>
  <si>
    <t xml:space="preserve">       Modo de Investimento</t>
  </si>
  <si>
    <t>Patrimônio</t>
  </si>
  <si>
    <t>CONSERVADOR</t>
  </si>
  <si>
    <t xml:space="preserve">         Investimento usado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</si>
</sst>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0" tint="-0.24994659260841701"/>
      </left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8" fillId="6" borderId="0" applyNumberFormat="0" applyBorder="0" applyAlignment="0" applyProtection="0"/>
  </cellStyleXfs>
  <cellXfs count="71">
    <xf numFmtId="0" fontId="0" fillId="0" borderId="0" xfId="0"/>
    <xf numFmtId="10" fontId="1" fillId="0" borderId="6" xfId="1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4" borderId="0" xfId="0" applyFont="1" applyFill="1"/>
    <xf numFmtId="164" fontId="0" fillId="0" borderId="4" xfId="0" applyNumberFormat="1" applyFill="1" applyBorder="1" applyAlignment="1">
      <alignment horizontal="center"/>
    </xf>
    <xf numFmtId="10" fontId="0" fillId="0" borderId="6" xfId="0" applyNumberFormat="1" applyFill="1" applyBorder="1" applyAlignment="1">
      <alignment horizontal="center"/>
    </xf>
    <xf numFmtId="164" fontId="0" fillId="0" borderId="8" xfId="0" applyNumberFormat="1" applyFill="1" applyBorder="1" applyAlignment="1">
      <alignment horizontal="center"/>
    </xf>
    <xf numFmtId="0" fontId="2" fillId="2" borderId="2" xfId="0" applyFont="1" applyFill="1" applyBorder="1" applyAlignment="1"/>
    <xf numFmtId="0" fontId="5" fillId="5" borderId="2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5" borderId="0" xfId="0" applyFill="1"/>
    <xf numFmtId="9" fontId="0" fillId="0" borderId="0" xfId="0" applyNumberFormat="1" applyAlignment="1">
      <alignment horizontal="center"/>
    </xf>
    <xf numFmtId="0" fontId="0" fillId="3" borderId="0" xfId="0" applyFill="1"/>
    <xf numFmtId="164" fontId="0" fillId="3" borderId="0" xfId="0" applyNumberFormat="1" applyFill="1"/>
    <xf numFmtId="0" fontId="0" fillId="0" borderId="14" xfId="0" applyBorder="1"/>
    <xf numFmtId="0" fontId="0" fillId="0" borderId="14" xfId="0" applyBorder="1" applyAlignment="1">
      <alignment horizontal="center"/>
    </xf>
    <xf numFmtId="9" fontId="0" fillId="0" borderId="14" xfId="0" applyNumberForma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9" fontId="0" fillId="0" borderId="15" xfId="0" applyNumberFormat="1" applyBorder="1" applyAlignment="1">
      <alignment horizontal="center"/>
    </xf>
    <xf numFmtId="0" fontId="8" fillId="6" borderId="0" xfId="2"/>
    <xf numFmtId="9" fontId="8" fillId="6" borderId="0" xfId="1" applyFont="1" applyFill="1"/>
    <xf numFmtId="0" fontId="0" fillId="0" borderId="0" xfId="0" applyAlignment="1">
      <alignment horizontal="right"/>
    </xf>
    <xf numFmtId="0" fontId="4" fillId="7" borderId="0" xfId="0" applyFont="1" applyFill="1"/>
    <xf numFmtId="0" fontId="4" fillId="7" borderId="0" xfId="0" applyFont="1" applyFill="1" applyAlignment="1">
      <alignment horizontal="center"/>
    </xf>
    <xf numFmtId="9" fontId="0" fillId="8" borderId="0" xfId="0" applyNumberFormat="1" applyFill="1" applyAlignment="1">
      <alignment horizontal="center"/>
    </xf>
    <xf numFmtId="164" fontId="0" fillId="8" borderId="0" xfId="0" applyNumberFormat="1" applyFill="1"/>
    <xf numFmtId="8" fontId="1" fillId="8" borderId="6" xfId="0" applyNumberFormat="1" applyFont="1" applyFill="1" applyBorder="1" applyAlignment="1">
      <alignment horizontal="center"/>
    </xf>
    <xf numFmtId="8" fontId="1" fillId="8" borderId="8" xfId="0" applyNumberFormat="1" applyFont="1" applyFill="1" applyBorder="1" applyAlignment="1">
      <alignment horizontal="center"/>
    </xf>
    <xf numFmtId="0" fontId="6" fillId="8" borderId="3" xfId="0" applyFont="1" applyFill="1" applyBorder="1" applyAlignment="1">
      <alignment horizontal="left" indent="3"/>
    </xf>
    <xf numFmtId="8" fontId="0" fillId="8" borderId="9" xfId="0" applyNumberFormat="1" applyFill="1" applyBorder="1"/>
    <xf numFmtId="8" fontId="0" fillId="8" borderId="4" xfId="0" applyNumberFormat="1" applyFill="1" applyBorder="1"/>
    <xf numFmtId="0" fontId="6" fillId="8" borderId="5" xfId="0" applyFont="1" applyFill="1" applyBorder="1" applyAlignment="1">
      <alignment horizontal="left" indent="3"/>
    </xf>
    <xf numFmtId="8" fontId="0" fillId="8" borderId="10" xfId="0" applyNumberFormat="1" applyFill="1" applyBorder="1"/>
    <xf numFmtId="0" fontId="6" fillId="8" borderId="7" xfId="0" applyFont="1" applyFill="1" applyBorder="1" applyAlignment="1">
      <alignment horizontal="left" indent="3"/>
    </xf>
    <xf numFmtId="8" fontId="0" fillId="8" borderId="11" xfId="0" applyNumberFormat="1" applyFill="1" applyBorder="1"/>
    <xf numFmtId="8" fontId="0" fillId="8" borderId="13" xfId="0" applyNumberFormat="1" applyFill="1" applyBorder="1"/>
    <xf numFmtId="0" fontId="7" fillId="8" borderId="0" xfId="0" applyFont="1" applyFill="1" applyBorder="1" applyAlignment="1"/>
    <xf numFmtId="0" fontId="1" fillId="3" borderId="0" xfId="0" applyFont="1" applyFill="1" applyAlignment="1">
      <alignment horizontal="center"/>
    </xf>
    <xf numFmtId="164" fontId="6" fillId="8" borderId="17" xfId="0" applyNumberFormat="1" applyFont="1" applyFill="1" applyBorder="1" applyAlignment="1">
      <alignment horizontal="center"/>
    </xf>
    <xf numFmtId="164" fontId="6" fillId="8" borderId="16" xfId="0" applyNumberFormat="1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indent="3"/>
    </xf>
    <xf numFmtId="0" fontId="6" fillId="0" borderId="9" xfId="0" applyFont="1" applyBorder="1" applyAlignment="1">
      <alignment horizontal="left" indent="3"/>
    </xf>
    <xf numFmtId="0" fontId="6" fillId="0" borderId="5" xfId="0" applyFont="1" applyBorder="1" applyAlignment="1">
      <alignment horizontal="left" indent="3"/>
    </xf>
    <xf numFmtId="0" fontId="6" fillId="0" borderId="10" xfId="0" applyFont="1" applyBorder="1" applyAlignment="1">
      <alignment horizontal="left" indent="3"/>
    </xf>
    <xf numFmtId="0" fontId="7" fillId="8" borderId="5" xfId="0" applyFont="1" applyFill="1" applyBorder="1" applyAlignment="1">
      <alignment horizontal="left"/>
    </xf>
    <xf numFmtId="0" fontId="7" fillId="8" borderId="10" xfId="0" applyFont="1" applyFill="1" applyBorder="1" applyAlignment="1">
      <alignment horizontal="left"/>
    </xf>
    <xf numFmtId="164" fontId="1" fillId="8" borderId="6" xfId="0" applyNumberFormat="1" applyFont="1" applyFill="1" applyBorder="1" applyAlignment="1">
      <alignment horizontal="center"/>
    </xf>
    <xf numFmtId="0" fontId="7" fillId="8" borderId="5" xfId="0" applyFont="1" applyFill="1" applyBorder="1" applyAlignment="1">
      <alignment horizontal="left" indent="3"/>
    </xf>
    <xf numFmtId="0" fontId="7" fillId="8" borderId="10" xfId="0" applyFont="1" applyFill="1" applyBorder="1" applyAlignment="1">
      <alignment horizontal="left" indent="3"/>
    </xf>
    <xf numFmtId="0" fontId="7" fillId="8" borderId="7" xfId="0" applyFont="1" applyFill="1" applyBorder="1" applyAlignment="1">
      <alignment horizontal="left" indent="3"/>
    </xf>
    <xf numFmtId="0" fontId="7" fillId="8" borderId="11" xfId="0" applyFont="1" applyFill="1" applyBorder="1" applyAlignment="1">
      <alignment horizontal="left" indent="3"/>
    </xf>
    <xf numFmtId="0" fontId="6" fillId="8" borderId="3" xfId="0" applyFont="1" applyFill="1" applyBorder="1" applyAlignment="1">
      <alignment horizontal="left" indent="3"/>
    </xf>
    <xf numFmtId="0" fontId="6" fillId="8" borderId="9" xfId="0" applyFont="1" applyFill="1" applyBorder="1" applyAlignment="1">
      <alignment horizontal="left" indent="3"/>
    </xf>
    <xf numFmtId="0" fontId="6" fillId="8" borderId="5" xfId="0" applyFont="1" applyFill="1" applyBorder="1" applyAlignment="1">
      <alignment horizontal="left" indent="3"/>
    </xf>
    <xf numFmtId="0" fontId="6" fillId="8" borderId="10" xfId="0" applyFont="1" applyFill="1" applyBorder="1" applyAlignment="1">
      <alignment horizontal="left" indent="3"/>
    </xf>
    <xf numFmtId="164" fontId="0" fillId="0" borderId="6" xfId="0" applyNumberFormat="1" applyFill="1" applyBorder="1" applyAlignment="1">
      <alignment horizontal="center"/>
    </xf>
    <xf numFmtId="0" fontId="6" fillId="8" borderId="18" xfId="0" applyFont="1" applyFill="1" applyBorder="1" applyAlignment="1">
      <alignment horizontal="left"/>
    </xf>
    <xf numFmtId="0" fontId="6" fillId="8" borderId="19" xfId="0" applyFont="1" applyFill="1" applyBorder="1" applyAlignment="1">
      <alignment horizontal="left"/>
    </xf>
    <xf numFmtId="0" fontId="5" fillId="2" borderId="1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</cellXfs>
  <cellStyles count="3">
    <cellStyle name="Neutro" xfId="2" builtinId="28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APP!$C$37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8B-43DD-BD4D-5D19408228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8B-43DD-BD4D-5D19408228A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08B-43DD-BD4D-5D19408228A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08B-43DD-BD4D-5D19408228A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08B-43DD-BD4D-5D19408228A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08B-43DD-BD4D-5D19408228A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APP!$B$38:$B$43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APP!$C$38:$C$43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4D-48DB-9D7F-920B42C55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152400</xdr:colOff>
      <xdr:row>1</xdr:row>
      <xdr:rowOff>161925</xdr:rowOff>
    </xdr:from>
    <xdr:to>
      <xdr:col>3</xdr:col>
      <xdr:colOff>1343024</xdr:colOff>
      <xdr:row>8</xdr:row>
      <xdr:rowOff>57150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C721226-23F2-4A04-B4A7-0AC278242A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409575" y="352425"/>
          <a:ext cx="6819899" cy="1228725"/>
        </a:xfrm>
        <a:prstGeom prst="rect">
          <a:avLst/>
        </a:prstGeom>
      </xdr:spPr>
    </xdr:pic>
    <xdr:clientData/>
  </xdr:twoCellAnchor>
  <xdr:twoCellAnchor>
    <xdr:from>
      <xdr:col>1</xdr:col>
      <xdr:colOff>995362</xdr:colOff>
      <xdr:row>45</xdr:row>
      <xdr:rowOff>61912</xdr:rowOff>
    </xdr:from>
    <xdr:to>
      <xdr:col>2</xdr:col>
      <xdr:colOff>2195512</xdr:colOff>
      <xdr:row>59</xdr:row>
      <xdr:rowOff>138112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3D2A437-A716-4077-9F48-CC29BA2A22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F44"/>
  <sheetViews>
    <sheetView showGridLines="0" showRowColHeaders="0" tabSelected="1" topLeftCell="A13" zoomScaleNormal="100" workbookViewId="0">
      <selection activeCell="C34" sqref="C34:D34"/>
    </sheetView>
  </sheetViews>
  <sheetFormatPr defaultColWidth="0" defaultRowHeight="15" x14ac:dyDescent="0.25"/>
  <cols>
    <col min="1" max="1" width="3.85546875" customWidth="1"/>
    <col min="2" max="2" width="50.5703125" customWidth="1"/>
    <col min="3" max="3" width="33.85546875" bestFit="1" customWidth="1"/>
    <col min="4" max="4" width="23" bestFit="1" customWidth="1"/>
    <col min="5" max="5" width="21.140625" customWidth="1"/>
    <col min="6" max="6" width="11.140625" hidden="1" customWidth="1"/>
    <col min="7" max="11" width="9.140625" hidden="1" customWidth="1"/>
    <col min="12" max="16384" width="9.140625" hidden="1"/>
  </cols>
  <sheetData>
    <row r="9" spans="2:4" ht="15.75" thickBot="1" x14ac:dyDescent="0.3"/>
    <row r="10" spans="2:4" ht="26.25" x14ac:dyDescent="0.25">
      <c r="B10" s="49" t="s">
        <v>13</v>
      </c>
      <c r="C10" s="50"/>
      <c r="D10" s="10"/>
    </row>
    <row r="11" spans="2:4" ht="15.75" x14ac:dyDescent="0.25">
      <c r="B11" s="62" t="s">
        <v>12</v>
      </c>
      <c r="C11" s="63"/>
      <c r="D11" s="6">
        <v>10000</v>
      </c>
    </row>
    <row r="12" spans="2:4" ht="15.75" x14ac:dyDescent="0.25">
      <c r="B12" s="64" t="s">
        <v>11</v>
      </c>
      <c r="C12" s="65"/>
      <c r="D12" s="7">
        <v>6.0000000000000001E-3</v>
      </c>
    </row>
    <row r="13" spans="2:4" ht="15.75" x14ac:dyDescent="0.25">
      <c r="B13" s="64" t="s">
        <v>31</v>
      </c>
      <c r="C13" s="65"/>
      <c r="D13" s="66">
        <f>D11*30%</f>
        <v>3000</v>
      </c>
    </row>
    <row r="14" spans="2:4" ht="16.5" thickBot="1" x14ac:dyDescent="0.3">
      <c r="B14" s="67" t="s">
        <v>35</v>
      </c>
      <c r="C14" s="68"/>
      <c r="D14" s="8" t="s">
        <v>34</v>
      </c>
    </row>
    <row r="15" spans="2:4" ht="15.75" thickBot="1" x14ac:dyDescent="0.3"/>
    <row r="16" spans="2:4" ht="25.5" customHeight="1" x14ac:dyDescent="0.4">
      <c r="B16" s="47" t="s">
        <v>32</v>
      </c>
      <c r="C16" s="48"/>
      <c r="D16" s="9"/>
    </row>
    <row r="17" spans="1:4" ht="15.75" x14ac:dyDescent="0.25">
      <c r="B17" s="51" t="s">
        <v>0</v>
      </c>
      <c r="C17" s="52"/>
      <c r="D17" s="2">
        <v>500</v>
      </c>
    </row>
    <row r="18" spans="1:4" ht="15.75" x14ac:dyDescent="0.25">
      <c r="B18" s="53" t="s">
        <v>1</v>
      </c>
      <c r="C18" s="54"/>
      <c r="D18" s="3">
        <v>5</v>
      </c>
    </row>
    <row r="19" spans="1:4" ht="15.75" x14ac:dyDescent="0.25">
      <c r="B19" s="53" t="s">
        <v>2</v>
      </c>
      <c r="C19" s="54"/>
      <c r="D19" s="1">
        <v>1.0789999999999999E-2</v>
      </c>
    </row>
    <row r="20" spans="1:4" ht="15.75" x14ac:dyDescent="0.25">
      <c r="B20" s="55" t="s">
        <v>38</v>
      </c>
      <c r="C20" s="56"/>
      <c r="D20" s="57">
        <f>IF(D14="30% do Salário",sugestao_investimento,aporte)</f>
        <v>3000</v>
      </c>
    </row>
    <row r="21" spans="1:4" ht="15.75" x14ac:dyDescent="0.25">
      <c r="B21" s="58" t="s">
        <v>3</v>
      </c>
      <c r="C21" s="59"/>
      <c r="D21" s="32">
        <f>FV(taxa_mesnsal,qtd_anos*12,aporte*-1)</f>
        <v>41888.456999243819</v>
      </c>
    </row>
    <row r="22" spans="1:4" ht="16.5" thickBot="1" x14ac:dyDescent="0.3">
      <c r="B22" s="60" t="s">
        <v>4</v>
      </c>
      <c r="C22" s="61"/>
      <c r="D22" s="33">
        <f>patrimonio*rendimento_carteira</f>
        <v>251.33074199546292</v>
      </c>
    </row>
    <row r="23" spans="1:4" ht="15.75" thickBot="1" x14ac:dyDescent="0.3"/>
    <row r="24" spans="1:4" ht="26.25" x14ac:dyDescent="0.4">
      <c r="B24" s="4" t="s">
        <v>33</v>
      </c>
      <c r="C24" s="69" t="s">
        <v>36</v>
      </c>
      <c r="D24" s="70" t="s">
        <v>10</v>
      </c>
    </row>
    <row r="25" spans="1:4" ht="15.75" x14ac:dyDescent="0.25">
      <c r="A25" s="5">
        <v>2</v>
      </c>
      <c r="B25" s="34" t="s">
        <v>5</v>
      </c>
      <c r="C25" s="35">
        <f>FV($D$19,$A25*12,$D$17*-1)</f>
        <v>13613.813648822608</v>
      </c>
      <c r="D25" s="36">
        <f>C25*rendimento_carteira</f>
        <v>81.682881892935654</v>
      </c>
    </row>
    <row r="26" spans="1:4" ht="15.75" x14ac:dyDescent="0.25">
      <c r="A26" s="5">
        <v>5</v>
      </c>
      <c r="B26" s="37" t="s">
        <v>6</v>
      </c>
      <c r="C26" s="38">
        <f>FV($D$19,$A26*12,$D$17*-1)</f>
        <v>41888.456999243819</v>
      </c>
      <c r="D26" s="36">
        <f>C26*rendimento_carteira</f>
        <v>251.33074199546292</v>
      </c>
    </row>
    <row r="27" spans="1:4" ht="15.75" x14ac:dyDescent="0.25">
      <c r="A27" s="5">
        <v>10</v>
      </c>
      <c r="B27" s="37" t="s">
        <v>7</v>
      </c>
      <c r="C27" s="38">
        <f>FV($D$19,$A27*12,$D$17*-1)</f>
        <v>121642.1062650861</v>
      </c>
      <c r="D27" s="36">
        <f>C27*rendimento_carteira</f>
        <v>729.85263759051657</v>
      </c>
    </row>
    <row r="28" spans="1:4" ht="15.75" x14ac:dyDescent="0.25">
      <c r="A28" s="5">
        <v>20</v>
      </c>
      <c r="B28" s="37" t="s">
        <v>8</v>
      </c>
      <c r="C28" s="38">
        <f>FV($D$19,$A28*12,$D$17*-1)</f>
        <v>562599.20004854025</v>
      </c>
      <c r="D28" s="36">
        <f>C28*rendimento_carteira</f>
        <v>3375.5952002912418</v>
      </c>
    </row>
    <row r="29" spans="1:4" ht="16.5" thickBot="1" x14ac:dyDescent="0.3">
      <c r="A29" s="5">
        <v>30</v>
      </c>
      <c r="B29" s="39" t="s">
        <v>9</v>
      </c>
      <c r="C29" s="40">
        <f>FV($D$19,$A29*12,$D$17*-1)</f>
        <v>2161084.8275023573</v>
      </c>
      <c r="D29" s="41">
        <f>C29*rendimento_carteira</f>
        <v>12966.508965014144</v>
      </c>
    </row>
    <row r="34" spans="2:4" x14ac:dyDescent="0.25">
      <c r="B34" s="12" t="s">
        <v>15</v>
      </c>
      <c r="C34" s="46" t="s">
        <v>37</v>
      </c>
      <c r="D34" s="46"/>
    </row>
    <row r="35" spans="2:4" ht="15.75" x14ac:dyDescent="0.25">
      <c r="B35" s="42" t="s">
        <v>14</v>
      </c>
      <c r="C35" s="44">
        <f>invertimento_usado</f>
        <v>3000</v>
      </c>
      <c r="D35" s="45"/>
    </row>
    <row r="37" spans="2:4" x14ac:dyDescent="0.25">
      <c r="B37" s="43" t="s">
        <v>16</v>
      </c>
      <c r="C37" s="43" t="s">
        <v>17</v>
      </c>
      <c r="D37" s="43" t="s">
        <v>18</v>
      </c>
    </row>
    <row r="38" spans="2:4" x14ac:dyDescent="0.25">
      <c r="B38" s="11" t="s">
        <v>19</v>
      </c>
      <c r="C38" s="30">
        <f>VLOOKUP($C$34&amp;"-"&amp;B38,Apoio!$A:$D,4,FALSE)</f>
        <v>0.3</v>
      </c>
      <c r="D38" s="31">
        <f>$C$35*C38</f>
        <v>900</v>
      </c>
    </row>
    <row r="39" spans="2:4" x14ac:dyDescent="0.25">
      <c r="B39" s="11" t="s">
        <v>20</v>
      </c>
      <c r="C39" s="30">
        <f>VLOOKUP($C$34&amp;"-"&amp;B39,Apoio!$A:$D,4,FALSE)</f>
        <v>0.5</v>
      </c>
      <c r="D39" s="31">
        <f t="shared" ref="D39:D43" si="0">$C$35*C39</f>
        <v>1500</v>
      </c>
    </row>
    <row r="40" spans="2:4" x14ac:dyDescent="0.25">
      <c r="B40" s="11" t="s">
        <v>21</v>
      </c>
      <c r="C40" s="30">
        <f>VLOOKUP($C$34&amp;"-"&amp;B40,Apoio!$A:$D,4,FALSE)</f>
        <v>0.1</v>
      </c>
      <c r="D40" s="31">
        <f t="shared" si="0"/>
        <v>300</v>
      </c>
    </row>
    <row r="41" spans="2:4" x14ac:dyDescent="0.25">
      <c r="B41" s="11" t="s">
        <v>22</v>
      </c>
      <c r="C41" s="30">
        <f>VLOOKUP($C$34&amp;"-"&amp;B41,Apoio!$A:$D,4,FALSE)</f>
        <v>0.1</v>
      </c>
      <c r="D41" s="31">
        <f t="shared" si="0"/>
        <v>300</v>
      </c>
    </row>
    <row r="42" spans="2:4" x14ac:dyDescent="0.25">
      <c r="B42" s="11" t="s">
        <v>23</v>
      </c>
      <c r="C42" s="30">
        <f>VLOOKUP($C$34&amp;"-"&amp;B42,Apoio!$A:$D,4,FALSE)</f>
        <v>0</v>
      </c>
      <c r="D42" s="31">
        <f t="shared" si="0"/>
        <v>0</v>
      </c>
    </row>
    <row r="43" spans="2:4" x14ac:dyDescent="0.25">
      <c r="B43" s="11" t="s">
        <v>24</v>
      </c>
      <c r="C43" s="30">
        <f>VLOOKUP($C$34&amp;"-"&amp;B43,Apoio!$A:$D,4,FALSE)</f>
        <v>0</v>
      </c>
      <c r="D43" s="31">
        <f t="shared" si="0"/>
        <v>0</v>
      </c>
    </row>
    <row r="44" spans="2:4" x14ac:dyDescent="0.25">
      <c r="B44" s="14"/>
      <c r="C44" s="14"/>
      <c r="D44" s="15">
        <f>SUM(D38:D43)</f>
        <v>3000</v>
      </c>
    </row>
  </sheetData>
  <mergeCells count="14">
    <mergeCell ref="C35:D35"/>
    <mergeCell ref="C34:D34"/>
    <mergeCell ref="B16:C16"/>
    <mergeCell ref="B10:C10"/>
    <mergeCell ref="B22:C22"/>
    <mergeCell ref="B21:C21"/>
    <mergeCell ref="B19:C19"/>
    <mergeCell ref="B18:C18"/>
    <mergeCell ref="B17:C17"/>
    <mergeCell ref="B13:C13"/>
    <mergeCell ref="B12:C12"/>
    <mergeCell ref="B11:C11"/>
    <mergeCell ref="B20:C20"/>
    <mergeCell ref="B14:C14"/>
  </mergeCells>
  <dataValidations count="2">
    <dataValidation type="list" allowBlank="1" showInputMessage="1" showErrorMessage="1" sqref="C34" xr:uid="{E558803F-6098-4486-AA6F-0AB227D3E84E}">
      <formula1>"CONSERVADOR,MODERADO,AGRESSIVO"</formula1>
    </dataValidation>
    <dataValidation type="list" allowBlank="1" showInputMessage="1" showErrorMessage="1" sqref="D14" xr:uid="{78E03E56-8ECC-40AA-AC2E-20740694B155}">
      <formula1>"Investimento Informado,30% do Salário"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C8187-46A3-4A58-A6E0-15F8E1F7C8EC}">
  <dimension ref="A2:H20"/>
  <sheetViews>
    <sheetView workbookViewId="0">
      <selection activeCell="A3" sqref="A3"/>
    </sheetView>
  </sheetViews>
  <sheetFormatPr defaultRowHeight="15" x14ac:dyDescent="0.25"/>
  <cols>
    <col min="1" max="1" width="33.85546875" bestFit="1" customWidth="1"/>
    <col min="2" max="2" width="14.7109375" bestFit="1" customWidth="1"/>
    <col min="3" max="3" width="19" bestFit="1" customWidth="1"/>
    <col min="7" max="7" width="17.42578125" customWidth="1"/>
  </cols>
  <sheetData>
    <row r="2" spans="1:8" x14ac:dyDescent="0.25">
      <c r="A2" s="28" t="s">
        <v>26</v>
      </c>
      <c r="B2" s="28" t="s">
        <v>15</v>
      </c>
      <c r="C2" s="29" t="s">
        <v>16</v>
      </c>
      <c r="D2" s="29" t="s">
        <v>25</v>
      </c>
    </row>
    <row r="3" spans="1:8" x14ac:dyDescent="0.25">
      <c r="A3" t="str">
        <f>B3&amp;"-"&amp;C3</f>
        <v>Conservador-PAPEL</v>
      </c>
      <c r="B3" t="s">
        <v>29</v>
      </c>
      <c r="C3" s="11" t="s">
        <v>19</v>
      </c>
      <c r="D3" s="13">
        <v>0.3</v>
      </c>
      <c r="H3" s="27" t="s">
        <v>25</v>
      </c>
    </row>
    <row r="4" spans="1:8" x14ac:dyDescent="0.25">
      <c r="A4" t="str">
        <f t="shared" ref="A4:A20" si="0">B4&amp;"-"&amp;C4</f>
        <v>Conservador-TIJOLO</v>
      </c>
      <c r="B4" t="s">
        <v>29</v>
      </c>
      <c r="C4" s="11" t="s">
        <v>20</v>
      </c>
      <c r="D4" s="13">
        <v>0.5</v>
      </c>
      <c r="G4" s="25" t="s">
        <v>30</v>
      </c>
      <c r="H4" s="26">
        <f>VLOOKUP(G4,$A:$D,4,FALSE)</f>
        <v>0.35</v>
      </c>
    </row>
    <row r="5" spans="1:8" x14ac:dyDescent="0.25">
      <c r="A5" t="str">
        <f t="shared" si="0"/>
        <v>Conservador-HÍBRIDOS</v>
      </c>
      <c r="B5" t="s">
        <v>29</v>
      </c>
      <c r="C5" s="11" t="s">
        <v>21</v>
      </c>
      <c r="D5" s="13">
        <v>0.1</v>
      </c>
    </row>
    <row r="6" spans="1:8" x14ac:dyDescent="0.25">
      <c r="A6" t="str">
        <f t="shared" si="0"/>
        <v>Conservador-FOfs</v>
      </c>
      <c r="B6" t="s">
        <v>29</v>
      </c>
      <c r="C6" s="11" t="s">
        <v>22</v>
      </c>
      <c r="D6" s="13">
        <v>0.1</v>
      </c>
    </row>
    <row r="7" spans="1:8" x14ac:dyDescent="0.25">
      <c r="A7" t="str">
        <f t="shared" si="0"/>
        <v>Conservador-DESENVOLVIMENTO</v>
      </c>
      <c r="B7" t="s">
        <v>29</v>
      </c>
      <c r="C7" s="11" t="s">
        <v>23</v>
      </c>
      <c r="D7" s="13">
        <v>0</v>
      </c>
    </row>
    <row r="8" spans="1:8" ht="15.75" thickBot="1" x14ac:dyDescent="0.3">
      <c r="A8" t="str">
        <f t="shared" si="0"/>
        <v>Conservador-HOTELARIAS</v>
      </c>
      <c r="B8" t="s">
        <v>29</v>
      </c>
      <c r="C8" s="11" t="s">
        <v>24</v>
      </c>
      <c r="D8" s="13">
        <v>0</v>
      </c>
    </row>
    <row r="9" spans="1:8" ht="15.75" thickTop="1" x14ac:dyDescent="0.25">
      <c r="A9" s="16" t="str">
        <f t="shared" si="0"/>
        <v>Moderado-PAPEL</v>
      </c>
      <c r="B9" s="16" t="s">
        <v>28</v>
      </c>
      <c r="C9" s="17" t="s">
        <v>19</v>
      </c>
      <c r="D9" s="18">
        <v>0.32</v>
      </c>
    </row>
    <row r="10" spans="1:8" x14ac:dyDescent="0.25">
      <c r="A10" s="19" t="str">
        <f t="shared" si="0"/>
        <v>Moderado-TIJOLO</v>
      </c>
      <c r="B10" s="19" t="s">
        <v>28</v>
      </c>
      <c r="C10" s="20" t="s">
        <v>20</v>
      </c>
      <c r="D10" s="21">
        <v>0.35</v>
      </c>
    </row>
    <row r="11" spans="1:8" x14ac:dyDescent="0.25">
      <c r="A11" s="19" t="str">
        <f t="shared" si="0"/>
        <v>Moderado-HÍBRIDOS</v>
      </c>
      <c r="B11" s="19" t="s">
        <v>28</v>
      </c>
      <c r="C11" s="20" t="s">
        <v>21</v>
      </c>
      <c r="D11" s="21">
        <v>0.08</v>
      </c>
    </row>
    <row r="12" spans="1:8" x14ac:dyDescent="0.25">
      <c r="A12" s="19" t="str">
        <f t="shared" si="0"/>
        <v>Moderado-FOfs</v>
      </c>
      <c r="B12" s="19" t="s">
        <v>28</v>
      </c>
      <c r="C12" s="20" t="s">
        <v>22</v>
      </c>
      <c r="D12" s="21">
        <v>0.05</v>
      </c>
    </row>
    <row r="13" spans="1:8" x14ac:dyDescent="0.25">
      <c r="A13" s="19" t="str">
        <f t="shared" si="0"/>
        <v>Moderado-DESENVOLVIMENTO</v>
      </c>
      <c r="B13" s="19" t="s">
        <v>28</v>
      </c>
      <c r="C13" s="20" t="s">
        <v>23</v>
      </c>
      <c r="D13" s="21">
        <v>0.1</v>
      </c>
    </row>
    <row r="14" spans="1:8" ht="15.75" thickBot="1" x14ac:dyDescent="0.3">
      <c r="A14" s="22" t="str">
        <f t="shared" si="0"/>
        <v>Moderado-HOTELARIAS</v>
      </c>
      <c r="B14" s="22" t="s">
        <v>28</v>
      </c>
      <c r="C14" s="23" t="s">
        <v>24</v>
      </c>
      <c r="D14" s="24">
        <v>0.1</v>
      </c>
    </row>
    <row r="15" spans="1:8" ht="15.75" thickTop="1" x14ac:dyDescent="0.25">
      <c r="A15" t="str">
        <f t="shared" si="0"/>
        <v>Agressivo-PAPEL</v>
      </c>
      <c r="B15" t="s">
        <v>27</v>
      </c>
      <c r="C15" s="11" t="s">
        <v>19</v>
      </c>
      <c r="D15" s="13">
        <v>0.5</v>
      </c>
    </row>
    <row r="16" spans="1:8" x14ac:dyDescent="0.25">
      <c r="A16" t="str">
        <f t="shared" si="0"/>
        <v>Agressivo-TIJOLO</v>
      </c>
      <c r="B16" t="s">
        <v>27</v>
      </c>
      <c r="C16" s="11" t="s">
        <v>20</v>
      </c>
      <c r="D16" s="13">
        <v>0.1</v>
      </c>
    </row>
    <row r="17" spans="1:4" x14ac:dyDescent="0.25">
      <c r="A17" t="str">
        <f t="shared" si="0"/>
        <v>Agressivo-HÍBRIDOS</v>
      </c>
      <c r="B17" t="s">
        <v>27</v>
      </c>
      <c r="C17" s="11" t="s">
        <v>21</v>
      </c>
      <c r="D17" s="13">
        <v>0.05</v>
      </c>
    </row>
    <row r="18" spans="1:4" x14ac:dyDescent="0.25">
      <c r="A18" t="str">
        <f t="shared" si="0"/>
        <v>Agressivo-FOfs</v>
      </c>
      <c r="B18" t="s">
        <v>27</v>
      </c>
      <c r="C18" s="11" t="s">
        <v>22</v>
      </c>
      <c r="D18" s="13">
        <v>0.05</v>
      </c>
    </row>
    <row r="19" spans="1:4" x14ac:dyDescent="0.25">
      <c r="A19" t="str">
        <f t="shared" si="0"/>
        <v>Agressivo-DESENVOLVIMENTO</v>
      </c>
      <c r="B19" t="s">
        <v>27</v>
      </c>
      <c r="C19" s="11" t="s">
        <v>23</v>
      </c>
      <c r="D19" s="13">
        <v>0.2</v>
      </c>
    </row>
    <row r="20" spans="1:4" x14ac:dyDescent="0.25">
      <c r="A20" t="str">
        <f t="shared" si="0"/>
        <v>Agressivo-HOTELARIAS</v>
      </c>
      <c r="B20" t="s">
        <v>27</v>
      </c>
      <c r="C20" s="11" t="s">
        <v>24</v>
      </c>
      <c r="D20" s="13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APP</vt:lpstr>
      <vt:lpstr>Apoio</vt:lpstr>
      <vt:lpstr>aporte</vt:lpstr>
      <vt:lpstr>invertimento_usado</vt:lpstr>
      <vt:lpstr>investimento_usado</vt:lpstr>
      <vt:lpstr>patrimonio</vt:lpstr>
      <vt:lpstr>qtd_anos</vt:lpstr>
      <vt:lpstr>rendimento_carteira</vt:lpstr>
      <vt:lpstr>sugestao_investimento</vt:lpstr>
      <vt:lpstr>taxa_mesnsal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Soares</dc:creator>
  <cp:lastModifiedBy>Leandro Soares</cp:lastModifiedBy>
  <dcterms:created xsi:type="dcterms:W3CDTF">2015-06-05T18:17:20Z</dcterms:created>
  <dcterms:modified xsi:type="dcterms:W3CDTF">2026-10-08T14:42:49Z</dcterms:modified>
</cp:coreProperties>
</file>